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andang/Desktop/An/New Media/Thesis '26/working file/"/>
    </mc:Choice>
  </mc:AlternateContent>
  <xr:revisionPtr revIDLastSave="0" documentId="13_ncr:1_{F81793D8-3007-2F4A-9385-50350FE8B612}" xr6:coauthVersionLast="47" xr6:coauthVersionMax="47" xr10:uidLastSave="{00000000-0000-0000-0000-000000000000}"/>
  <bookViews>
    <workbookView xWindow="1280" yWindow="1960" windowWidth="31640" windowHeight="22680" tabRatio="500" xr2:uid="{00000000-000D-0000-FFFF-FFFF00000000}"/>
  </bookViews>
  <sheets>
    <sheet name="Table 4.1" sheetId="1" r:id="rId1"/>
    <sheet name="Method &amp; legend" sheetId="2" r:id="rId2"/>
  </sheets>
  <definedNames>
    <definedName name="_xlnm._FilterDatabase" localSheetId="0" hidden="1">'Table 4.1'!$A$2:$L$31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" l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J3" i="1"/>
  <c r="I3" i="1"/>
</calcChain>
</file>

<file path=xl/sharedStrings.xml><?xml version="1.0" encoding="utf-8"?>
<sst xmlns="http://schemas.openxmlformats.org/spreadsheetml/2006/main" count="175" uniqueCount="145">
  <si>
    <t>#</t>
  </si>
  <si>
    <t>Work</t>
  </si>
  <si>
    <t>Year</t>
  </si>
  <si>
    <t>Reflective</t>
  </si>
  <si>
    <t>Responsive</t>
  </si>
  <si>
    <t>Autonomous</t>
  </si>
  <si>
    <t>Intra-active</t>
  </si>
  <si>
    <t>Σ (0–20)</t>
  </si>
  <si>
    <t>Breadth (≥3)</t>
  </si>
  <si>
    <t>Dominant dimension(s)</t>
  </si>
  <si>
    <t>Source / documentation</t>
  </si>
  <si>
    <t>Videoplace</t>
  </si>
  <si>
    <t>Myron Krueger</t>
  </si>
  <si>
    <t>c.1974–90</t>
  </si>
  <si>
    <t>Telematic Dreaming</t>
  </si>
  <si>
    <t>Paul Sermon</t>
  </si>
  <si>
    <t>1992</t>
  </si>
  <si>
    <t>Ghostcatching</t>
  </si>
  <si>
    <t>Jones / Kaiser / Eshkar</t>
  </si>
  <si>
    <t>1999</t>
  </si>
  <si>
    <t>Wooden Mirror</t>
  </si>
  <si>
    <t>Daniel Rozin</t>
  </si>
  <si>
    <t>Reflective / Responsive</t>
  </si>
  <si>
    <t>Agent Ruby</t>
  </si>
  <si>
    <t>Lynn Hershman Leeson</t>
  </si>
  <si>
    <t>2001</t>
  </si>
  <si>
    <t>Prosthetic Head</t>
  </si>
  <si>
    <t>Stelarc</t>
  </si>
  <si>
    <t>2003</t>
  </si>
  <si>
    <t>DiNA</t>
  </si>
  <si>
    <t>2004</t>
  </si>
  <si>
    <t>Geminoid HI-1</t>
  </si>
  <si>
    <t>Hiroshi Ishiguro</t>
  </si>
  <si>
    <t>2006</t>
  </si>
  <si>
    <t>Opto-Isolator</t>
  </si>
  <si>
    <t>Levin &amp; Baltus</t>
  </si>
  <si>
    <t>2007</t>
  </si>
  <si>
    <t>Responsive / gaze</t>
  </si>
  <si>
    <t>flong.com/archive/projects/optoisolator</t>
  </si>
  <si>
    <t>Reface [Portrait Sequencer]</t>
  </si>
  <si>
    <t>Levin &amp; Lieberman</t>
  </si>
  <si>
    <t>flong.com/archive/projects/reface</t>
  </si>
  <si>
    <t>Stranger Visions</t>
  </si>
  <si>
    <t>Heather Dewey-Hagborg</t>
  </si>
  <si>
    <t>2012–13</t>
  </si>
  <si>
    <t>Reflective / Intra-active</t>
  </si>
  <si>
    <t>deweyhagborg.com/projects/stranger-visions</t>
  </si>
  <si>
    <t>Conversations with Bina48</t>
  </si>
  <si>
    <t>Stephanie Dinkins</t>
  </si>
  <si>
    <t>2014–</t>
  </si>
  <si>
    <t>All four</t>
  </si>
  <si>
    <t>stephaniedinkins.com/conversations-with-bina48.html</t>
  </si>
  <si>
    <t>as.phyx.ia</t>
  </si>
  <si>
    <t>Takeuchi &amp; Philips</t>
  </si>
  <si>
    <t>2015</t>
  </si>
  <si>
    <t>D.O.U.G.</t>
  </si>
  <si>
    <t>Sougwen Chung</t>
  </si>
  <si>
    <t>2015–</t>
  </si>
  <si>
    <t>Multi</t>
  </si>
  <si>
    <t>sougwen.com</t>
  </si>
  <si>
    <t>Selfish Gene Mirror</t>
  </si>
  <si>
    <t>Reflective / generative</t>
  </si>
  <si>
    <t>bitforms.art/artwork/selfish-gene-mirror</t>
  </si>
  <si>
    <t>LAUREN</t>
  </si>
  <si>
    <t>Lauren Lee McCarthy</t>
  </si>
  <si>
    <t>2017</t>
  </si>
  <si>
    <t>Responsive / Intra-active</t>
  </si>
  <si>
    <t>get-lauren.com</t>
  </si>
  <si>
    <t>Synthesia avatars</t>
  </si>
  <si>
    <t>Synthesia (commercial)</t>
  </si>
  <si>
    <t>2017–</t>
  </si>
  <si>
    <t>technologyreview.com/2024/04/25/1091772/</t>
  </si>
  <si>
    <t>BOB (Bag of Beliefs)</t>
  </si>
  <si>
    <t>Ian Cheng</t>
  </si>
  <si>
    <t>2018</t>
  </si>
  <si>
    <t>Not The Only One (N'TOO)</t>
  </si>
  <si>
    <t>2018–</t>
  </si>
  <si>
    <t>Autonomous / Intra-active</t>
  </si>
  <si>
    <t>stephaniedinkins.com</t>
  </si>
  <si>
    <t>SOMEONE</t>
  </si>
  <si>
    <t>2019</t>
  </si>
  <si>
    <t>get-lauren.com; artsandculture.google.com</t>
  </si>
  <si>
    <t>Future You</t>
  </si>
  <si>
    <t>Universal Everything</t>
  </si>
  <si>
    <t>Responsive / generative</t>
  </si>
  <si>
    <t>universaleverything.com/artworks/future-you</t>
  </si>
  <si>
    <t>Good Morning Young Body</t>
  </si>
  <si>
    <t>Charmaine Poh</t>
  </si>
  <si>
    <t>2021–23</t>
  </si>
  <si>
    <t>Reflective / multi</t>
  </si>
  <si>
    <t>kadist.org/work/good-morning-young-body</t>
  </si>
  <si>
    <t>Holly+</t>
  </si>
  <si>
    <t>Holly Herndon</t>
  </si>
  <si>
    <t>2021–</t>
  </si>
  <si>
    <t>Digital Human Twins</t>
  </si>
  <si>
    <t>Ghislaine Boddington</t>
  </si>
  <si>
    <t>The Worm / Pianowork</t>
  </si>
  <si>
    <t>Ed Atkins</t>
  </si>
  <si>
    <t>2021/23</t>
  </si>
  <si>
    <t>Voice In My Head</t>
  </si>
  <si>
    <t>McCarthy &amp; McDonald</t>
  </si>
  <si>
    <t>2023</t>
  </si>
  <si>
    <t>Resp. / Auto. / Intra-active</t>
  </si>
  <si>
    <t>Body Sculpture</t>
  </si>
  <si>
    <t>Jordan Wolfson</t>
  </si>
  <si>
    <t>Peripheral</t>
  </si>
  <si>
    <t>nga.gov.au/.../jordan-wolfson-body-sculpture (An's draft)</t>
  </si>
  <si>
    <t>Centering Bodies (VR dance)</t>
  </si>
  <si>
    <t>Lottridge, Cisneros et al.</t>
  </si>
  <si>
    <t>2024</t>
  </si>
  <si>
    <t>doi.org/10.1145/3635636.3656194</t>
  </si>
  <si>
    <t>Spectrum Mirror</t>
  </si>
  <si>
    <t>Ahmad Erfani</t>
  </si>
  <si>
    <t>Responsive (Aalto)</t>
  </si>
  <si>
    <t>ahmaderfani.com/spectrum-mirror</t>
  </si>
  <si>
    <t>Scale</t>
  </si>
  <si>
    <t>Each work is scored 0 (absent) to 5 (definitive) on each of four dimensions. Scores are an ordinal, interpretive instrument for organising close reading, not a measurement.</t>
  </si>
  <si>
    <t>Degree to which the work stages recognition / misrecognition of self in the digital image, not mere resemblance (Lacan 1949/2006; Merleau-Ponty 1964, p. 136; Cleland 2008).</t>
  </si>
  <si>
    <t>Degree to which the figure participates in the lived body's perceptual reach in real time (Merleau-Ponty 1945/2012, p. 144; 1968; Hansen 2006; Halák).</t>
  </si>
  <si>
    <t>Degree to which the work stages the apparatus that distinguishes subject from twin as part of its own content (Barad 2003, p. 827; 2007, p. 33; Kirby 2008; Haraway 1985/1991).</t>
  </si>
  <si>
    <t>Sum of the four scores, a rough magnitude index only. Summing ordinal values is not a statistic; use as a heuristic for overall engagement, read alongside Breadth.</t>
  </si>
  <si>
    <t>Count of dimensions scoring 3 or higher (0–4). A defensible count rather than an arithmetic operation; it directly indexes multidimensionality. Sorted by year, Breadth rises from 1–2 in early works to 3–4 in recent ones, which is the chapter's central observation.</t>
  </si>
  <si>
    <t>Coding status</t>
  </si>
  <si>
    <t>Author</t>
  </si>
  <si>
    <t>https://www.paulsermon.org/dream/</t>
  </si>
  <si>
    <t>http://www.medienkunstnetz.de/works/videoplace/</t>
  </si>
  <si>
    <t>https://openendedgroup.com/artworks/gc.html</t>
  </si>
  <si>
    <t>https://www.smoothware.com/danny/woodenmirror.html</t>
  </si>
  <si>
    <t>https://www.lynnhershman.com/project/agent-ruby/</t>
  </si>
  <si>
    <t>https://www.interaccess.org/exhibitions/prosthetic-head</t>
  </si>
  <si>
    <t>https://www.lynnhershman.com/project/dina/</t>
  </si>
  <si>
    <t>https://robotsguide.com/robots/geminoidhi1</t>
  </si>
  <si>
    <t>https://iancheng.com/BOB</t>
  </si>
  <si>
    <t>https://dbini.com/as-phyx-i-a/</t>
  </si>
  <si>
    <t>https://ars.electronica.art/planetb/en/holly-plus/</t>
  </si>
  <si>
    <t>https://www.internetofbodies.net/digital-human-twins</t>
  </si>
  <si>
    <t>https://www.mimicproductions.com/project/ed-atkins-pianowork-2</t>
  </si>
  <si>
    <t>Reflective (boundary case)</t>
  </si>
  <si>
    <t>All four (moderate) - check again</t>
  </si>
  <si>
    <t xml:space="preserve">Reflective </t>
  </si>
  <si>
    <t>Table 4.1. Human digital twin works in new media art through four-dimension interpretive profiles (0–5), ordered by year</t>
  </si>
  <si>
    <t>Single-coder, descriptive, exploratory. Reproducibility is conceptual: a second reader following the definitions should land near, not identical to, these values.</t>
  </si>
  <si>
    <t>Degree to which the figure persists, learns, and produces outcomes its referent did not author (Wei 2021; Sundar 2020; Legaspi et al. 2024; Nguyen et al. 2024).</t>
  </si>
  <si>
    <t>Taxonomy of HDT in new media arts - method, definitions, and reading notes</t>
  </si>
  <si>
    <t>https://get-lauren.net/Voice-In-My-Head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</si>
</sst>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1B1B2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1B1B21"/>
      <name val="Arial"/>
      <charset val="1"/>
    </font>
    <font>
      <sz val="10"/>
      <color rgb="FF1B1B21"/>
      <name val="Arial"/>
      <charset val="1"/>
    </font>
    <font>
      <b/>
      <sz val="10"/>
      <color rgb="FFFFFFFF"/>
      <name val="Arial"/>
      <family val="2"/>
    </font>
    <font>
      <b/>
      <sz val="12"/>
      <color rgb="FF1B1B2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sz val="10"/>
      <color rgb="FF1B1B21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AF2"/>
        <bgColor rgb="FFD9D9E0"/>
      </patternFill>
    </fill>
    <fill>
      <patternFill patternType="solid">
        <fgColor rgb="FF3A2A4A"/>
        <bgColor rgb="FF1B1B21"/>
      </patternFill>
    </fill>
  </fills>
  <borders count="2">
    <border>
      <left/>
      <right/>
      <top/>
      <bottom/>
      <diagonal/>
    </border>
    <border>
      <left style="thin">
        <color rgb="FFD9D9E0"/>
      </left>
      <right style="thin">
        <color rgb="FFD9D9E0"/>
      </right>
      <top style="thin">
        <color rgb="FFD9D9E0"/>
      </top>
      <bottom style="thin">
        <color rgb="FFD9D9E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1" fillId="0" borderId="1" xfId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2" fillId="0" borderId="0" xfId="0" applyFont="1" applyAlignment="1">
      <alignment vertical="top" wrapText="1"/>
    </xf>
    <xf numFmtId="0" fontId="13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AF2"/>
      <rgbColor rgb="FFCCFFFF"/>
      <rgbColor rgb="FF660066"/>
      <rgbColor rgb="FFFF8080"/>
      <rgbColor rgb="FF0066CC"/>
      <rgbColor rgb="FFD9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1B21"/>
      <rgbColor rgb="FF993300"/>
      <rgbColor rgb="FF993366"/>
      <rgbColor rgb="FF333399"/>
      <rgbColor rgb="FF3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tsguide.com/robots/geminoidhi1" TargetMode="External"/><Relationship Id="rId13" Type="http://schemas.openxmlformats.org/officeDocument/2006/relationships/hyperlink" Target="https://www.mimicproductions.com/project/ed-atkins-pianowork-2" TargetMode="External"/><Relationship Id="rId3" Type="http://schemas.openxmlformats.org/officeDocument/2006/relationships/hyperlink" Target="https://openendedgroup.com/artworks/gc.html" TargetMode="External"/><Relationship Id="rId7" Type="http://schemas.openxmlformats.org/officeDocument/2006/relationships/hyperlink" Target="https://www.lynnhershman.com/project/dina/" TargetMode="External"/><Relationship Id="rId12" Type="http://schemas.openxmlformats.org/officeDocument/2006/relationships/hyperlink" Target="https://www.internetofbodies.net/digital-human-twins" TargetMode="External"/><Relationship Id="rId2" Type="http://schemas.openxmlformats.org/officeDocument/2006/relationships/hyperlink" Target="http://www.medienkunstnetz.de/works/videoplace/" TargetMode="External"/><Relationship Id="rId1" Type="http://schemas.openxmlformats.org/officeDocument/2006/relationships/hyperlink" Target="https://www.paulsermon.org/dream/" TargetMode="External"/><Relationship Id="rId6" Type="http://schemas.openxmlformats.org/officeDocument/2006/relationships/hyperlink" Target="https://www.interaccess.org/exhibitions/prosthetic-head" TargetMode="External"/><Relationship Id="rId11" Type="http://schemas.openxmlformats.org/officeDocument/2006/relationships/hyperlink" Target="https://ars.electronica.art/planetb/en/holly-plus/" TargetMode="External"/><Relationship Id="rId5" Type="http://schemas.openxmlformats.org/officeDocument/2006/relationships/hyperlink" Target="https://www.lynnhershman.com/project/agent-ruby/" TargetMode="External"/><Relationship Id="rId10" Type="http://schemas.openxmlformats.org/officeDocument/2006/relationships/hyperlink" Target="https://dbini.com/as-phyx-i-a/" TargetMode="External"/><Relationship Id="rId4" Type="http://schemas.openxmlformats.org/officeDocument/2006/relationships/hyperlink" Target="https://www.smoothware.com/danny/woodenmirror.html" TargetMode="External"/><Relationship Id="rId9" Type="http://schemas.openxmlformats.org/officeDocument/2006/relationships/hyperlink" Target="https://iancheng.com/BOB" TargetMode="External"/><Relationship Id="rId14" Type="http://schemas.openxmlformats.org/officeDocument/2006/relationships/hyperlink" Target="https://get-lauren.net/Voice-In-My-He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8" sqref="B28"/>
    </sheetView>
  </sheetViews>
  <sheetFormatPr baseColWidth="10" defaultColWidth="8.6640625" defaultRowHeight="15" x14ac:dyDescent="0.2"/>
  <cols>
    <col min="1" max="1" width="4.5" customWidth="1"/>
    <col min="2" max="2" width="27" customWidth="1"/>
    <col min="3" max="3" width="27.6640625" customWidth="1"/>
    <col min="4" max="4" width="15.83203125" customWidth="1"/>
    <col min="5" max="5" width="10" customWidth="1"/>
    <col min="6" max="6" width="10.5" customWidth="1"/>
    <col min="7" max="8" width="11" customWidth="1"/>
    <col min="9" max="9" width="8.5" customWidth="1"/>
    <col min="10" max="10" width="11" customWidth="1"/>
    <col min="11" max="11" width="24" customWidth="1"/>
    <col min="12" max="12" width="46" customWidth="1"/>
  </cols>
  <sheetData>
    <row r="1" spans="1:12" ht="30" customHeight="1" x14ac:dyDescent="0.2">
      <c r="A1" s="11" t="s">
        <v>140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3.75" customHeight="1" x14ac:dyDescent="0.2">
      <c r="A2" s="1" t="s">
        <v>0</v>
      </c>
      <c r="B2" s="1" t="s">
        <v>1</v>
      </c>
      <c r="C2" s="8" t="s">
        <v>123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">
      <c r="A3" s="2">
        <v>1</v>
      </c>
      <c r="B3" s="3" t="s">
        <v>11</v>
      </c>
      <c r="C3" s="3" t="s">
        <v>12</v>
      </c>
      <c r="D3" s="4" t="s">
        <v>13</v>
      </c>
      <c r="E3" s="2">
        <v>2</v>
      </c>
      <c r="F3" s="2">
        <v>5</v>
      </c>
      <c r="G3" s="2">
        <v>1</v>
      </c>
      <c r="H3" s="2">
        <v>2</v>
      </c>
      <c r="I3" s="5">
        <f t="shared" ref="I3:I31" si="0">SUM(E3:H3)</f>
        <v>10</v>
      </c>
      <c r="J3" s="2">
        <f t="shared" ref="J3:J31" si="1">COUNTIF(E3:H3,"&gt;=3")</f>
        <v>1</v>
      </c>
      <c r="K3" s="3" t="s">
        <v>4</v>
      </c>
      <c r="L3" s="10" t="s">
        <v>125</v>
      </c>
    </row>
    <row r="4" spans="1:12" x14ac:dyDescent="0.2">
      <c r="A4" s="2">
        <v>2</v>
      </c>
      <c r="B4" s="9" t="s">
        <v>14</v>
      </c>
      <c r="C4" s="3" t="s">
        <v>15</v>
      </c>
      <c r="D4" s="4" t="s">
        <v>16</v>
      </c>
      <c r="E4" s="2">
        <v>3</v>
      </c>
      <c r="F4" s="2">
        <v>5</v>
      </c>
      <c r="G4" s="2">
        <v>0</v>
      </c>
      <c r="H4" s="2">
        <v>2</v>
      </c>
      <c r="I4" s="5">
        <f t="shared" si="0"/>
        <v>10</v>
      </c>
      <c r="J4" s="2">
        <f t="shared" si="1"/>
        <v>2</v>
      </c>
      <c r="K4" s="3" t="s">
        <v>4</v>
      </c>
      <c r="L4" s="10" t="s">
        <v>124</v>
      </c>
    </row>
    <row r="5" spans="1:12" x14ac:dyDescent="0.2">
      <c r="A5" s="2">
        <v>3</v>
      </c>
      <c r="B5" s="3" t="s">
        <v>17</v>
      </c>
      <c r="C5" s="3" t="s">
        <v>18</v>
      </c>
      <c r="D5" s="4" t="s">
        <v>19</v>
      </c>
      <c r="E5" s="2">
        <v>5</v>
      </c>
      <c r="F5" s="2">
        <v>1</v>
      </c>
      <c r="G5" s="2">
        <v>1</v>
      </c>
      <c r="H5" s="2">
        <v>2</v>
      </c>
      <c r="I5" s="5">
        <f t="shared" si="0"/>
        <v>9</v>
      </c>
      <c r="J5" s="2">
        <f t="shared" si="1"/>
        <v>1</v>
      </c>
      <c r="K5" s="3" t="s">
        <v>3</v>
      </c>
      <c r="L5" s="10" t="s">
        <v>126</v>
      </c>
    </row>
    <row r="6" spans="1:12" x14ac:dyDescent="0.2">
      <c r="A6" s="2">
        <v>4</v>
      </c>
      <c r="B6" s="3" t="s">
        <v>20</v>
      </c>
      <c r="C6" s="3" t="s">
        <v>21</v>
      </c>
      <c r="D6" s="4" t="s">
        <v>19</v>
      </c>
      <c r="E6" s="2">
        <v>4</v>
      </c>
      <c r="F6" s="2">
        <v>4</v>
      </c>
      <c r="G6" s="2">
        <v>0</v>
      </c>
      <c r="H6" s="2">
        <v>2</v>
      </c>
      <c r="I6" s="5">
        <f t="shared" si="0"/>
        <v>10</v>
      </c>
      <c r="J6" s="2">
        <f t="shared" si="1"/>
        <v>2</v>
      </c>
      <c r="K6" s="3" t="s">
        <v>22</v>
      </c>
      <c r="L6" s="10" t="s">
        <v>127</v>
      </c>
    </row>
    <row r="7" spans="1:12" x14ac:dyDescent="0.2">
      <c r="A7" s="2">
        <v>5</v>
      </c>
      <c r="B7" s="3" t="s">
        <v>23</v>
      </c>
      <c r="C7" s="3" t="s">
        <v>24</v>
      </c>
      <c r="D7" s="4" t="s">
        <v>25</v>
      </c>
      <c r="E7" s="2">
        <v>2</v>
      </c>
      <c r="F7" s="2">
        <v>4</v>
      </c>
      <c r="G7" s="2">
        <v>3</v>
      </c>
      <c r="H7" s="2">
        <v>3</v>
      </c>
      <c r="I7" s="5">
        <f t="shared" si="0"/>
        <v>12</v>
      </c>
      <c r="J7" s="2">
        <f t="shared" si="1"/>
        <v>3</v>
      </c>
      <c r="K7" s="3" t="s">
        <v>5</v>
      </c>
      <c r="L7" s="10" t="s">
        <v>128</v>
      </c>
    </row>
    <row r="8" spans="1:12" x14ac:dyDescent="0.2">
      <c r="A8" s="2">
        <v>6</v>
      </c>
      <c r="B8" s="9" t="s">
        <v>26</v>
      </c>
      <c r="C8" s="9" t="s">
        <v>27</v>
      </c>
      <c r="D8" s="4" t="s">
        <v>28</v>
      </c>
      <c r="E8" s="2">
        <v>3</v>
      </c>
      <c r="F8" s="2">
        <v>4</v>
      </c>
      <c r="G8" s="2">
        <v>3</v>
      </c>
      <c r="H8" s="2">
        <v>4</v>
      </c>
      <c r="I8" s="5">
        <f t="shared" si="0"/>
        <v>14</v>
      </c>
      <c r="J8" s="2">
        <f t="shared" si="1"/>
        <v>4</v>
      </c>
      <c r="K8" s="9" t="s">
        <v>138</v>
      </c>
      <c r="L8" s="10" t="s">
        <v>129</v>
      </c>
    </row>
    <row r="9" spans="1:12" x14ac:dyDescent="0.2">
      <c r="A9" s="2">
        <v>7</v>
      </c>
      <c r="B9" s="3" t="s">
        <v>29</v>
      </c>
      <c r="C9" s="3" t="s">
        <v>24</v>
      </c>
      <c r="D9" s="4" t="s">
        <v>30</v>
      </c>
      <c r="E9" s="2">
        <v>2</v>
      </c>
      <c r="F9" s="2">
        <v>4</v>
      </c>
      <c r="G9" s="2">
        <v>4</v>
      </c>
      <c r="H9" s="2">
        <v>3</v>
      </c>
      <c r="I9" s="5">
        <f t="shared" si="0"/>
        <v>13</v>
      </c>
      <c r="J9" s="2">
        <f t="shared" si="1"/>
        <v>3</v>
      </c>
      <c r="K9" s="3" t="s">
        <v>5</v>
      </c>
      <c r="L9" s="10" t="s">
        <v>130</v>
      </c>
    </row>
    <row r="10" spans="1:12" x14ac:dyDescent="0.2">
      <c r="A10" s="2">
        <v>8</v>
      </c>
      <c r="B10" s="3" t="s">
        <v>31</v>
      </c>
      <c r="C10" s="3" t="s">
        <v>32</v>
      </c>
      <c r="D10" s="4" t="s">
        <v>33</v>
      </c>
      <c r="E10" s="2">
        <v>5</v>
      </c>
      <c r="F10" s="2">
        <v>4</v>
      </c>
      <c r="G10" s="2">
        <v>2</v>
      </c>
      <c r="H10" s="2">
        <v>3</v>
      </c>
      <c r="I10" s="5">
        <f t="shared" si="0"/>
        <v>14</v>
      </c>
      <c r="J10" s="2">
        <f t="shared" si="1"/>
        <v>3</v>
      </c>
      <c r="K10" s="9" t="s">
        <v>137</v>
      </c>
      <c r="L10" s="10" t="s">
        <v>131</v>
      </c>
    </row>
    <row r="11" spans="1:12" x14ac:dyDescent="0.2">
      <c r="A11" s="2">
        <v>9</v>
      </c>
      <c r="B11" s="3" t="s">
        <v>34</v>
      </c>
      <c r="C11" s="3" t="s">
        <v>35</v>
      </c>
      <c r="D11" s="4" t="s">
        <v>36</v>
      </c>
      <c r="E11" s="2">
        <v>1</v>
      </c>
      <c r="F11" s="2">
        <v>4</v>
      </c>
      <c r="G11" s="2">
        <v>3</v>
      </c>
      <c r="H11" s="2">
        <v>3</v>
      </c>
      <c r="I11" s="5">
        <f t="shared" si="0"/>
        <v>11</v>
      </c>
      <c r="J11" s="2">
        <f t="shared" si="1"/>
        <v>3</v>
      </c>
      <c r="K11" s="3" t="s">
        <v>37</v>
      </c>
      <c r="L11" s="3" t="s">
        <v>38</v>
      </c>
    </row>
    <row r="12" spans="1:12" x14ac:dyDescent="0.2">
      <c r="A12" s="2">
        <v>10</v>
      </c>
      <c r="B12" s="3" t="s">
        <v>39</v>
      </c>
      <c r="C12" s="3" t="s">
        <v>40</v>
      </c>
      <c r="D12" s="4" t="s">
        <v>36</v>
      </c>
      <c r="E12" s="2">
        <v>3</v>
      </c>
      <c r="F12" s="2">
        <v>3</v>
      </c>
      <c r="G12" s="2">
        <v>2</v>
      </c>
      <c r="H12" s="2">
        <v>3</v>
      </c>
      <c r="I12" s="5">
        <f t="shared" si="0"/>
        <v>11</v>
      </c>
      <c r="J12" s="2">
        <f t="shared" si="1"/>
        <v>3</v>
      </c>
      <c r="K12" s="3" t="s">
        <v>3</v>
      </c>
      <c r="L12" s="3" t="s">
        <v>41</v>
      </c>
    </row>
    <row r="13" spans="1:12" x14ac:dyDescent="0.2">
      <c r="A13" s="2">
        <v>11</v>
      </c>
      <c r="B13" s="3" t="s">
        <v>42</v>
      </c>
      <c r="C13" s="3" t="s">
        <v>43</v>
      </c>
      <c r="D13" s="4" t="s">
        <v>44</v>
      </c>
      <c r="E13" s="2">
        <v>4</v>
      </c>
      <c r="F13" s="2">
        <v>0</v>
      </c>
      <c r="G13" s="2">
        <v>1</v>
      </c>
      <c r="H13" s="2">
        <v>5</v>
      </c>
      <c r="I13" s="5">
        <f t="shared" si="0"/>
        <v>10</v>
      </c>
      <c r="J13" s="2">
        <f t="shared" si="1"/>
        <v>2</v>
      </c>
      <c r="K13" s="3" t="s">
        <v>45</v>
      </c>
      <c r="L13" s="3" t="s">
        <v>46</v>
      </c>
    </row>
    <row r="14" spans="1:12" x14ac:dyDescent="0.2">
      <c r="A14" s="2">
        <v>12</v>
      </c>
      <c r="B14" s="3" t="s">
        <v>47</v>
      </c>
      <c r="C14" s="3" t="s">
        <v>48</v>
      </c>
      <c r="D14" s="4" t="s">
        <v>49</v>
      </c>
      <c r="E14" s="2">
        <v>4</v>
      </c>
      <c r="F14" s="2">
        <v>3</v>
      </c>
      <c r="G14" s="2">
        <v>4</v>
      </c>
      <c r="H14" s="2">
        <v>5</v>
      </c>
      <c r="I14" s="5">
        <f t="shared" si="0"/>
        <v>16</v>
      </c>
      <c r="J14" s="2">
        <f t="shared" si="1"/>
        <v>4</v>
      </c>
      <c r="K14" s="3" t="s">
        <v>50</v>
      </c>
      <c r="L14" s="3" t="s">
        <v>51</v>
      </c>
    </row>
    <row r="15" spans="1:12" x14ac:dyDescent="0.2">
      <c r="A15" s="2">
        <v>13</v>
      </c>
      <c r="B15" s="3" t="s">
        <v>52</v>
      </c>
      <c r="C15" s="3" t="s">
        <v>53</v>
      </c>
      <c r="D15" s="4" t="s">
        <v>54</v>
      </c>
      <c r="E15" s="2">
        <v>4</v>
      </c>
      <c r="F15" s="2">
        <v>1</v>
      </c>
      <c r="G15" s="2">
        <v>2</v>
      </c>
      <c r="H15" s="2">
        <v>3</v>
      </c>
      <c r="I15" s="5">
        <f t="shared" si="0"/>
        <v>10</v>
      </c>
      <c r="J15" s="2">
        <f t="shared" si="1"/>
        <v>2</v>
      </c>
      <c r="K15" s="9" t="s">
        <v>139</v>
      </c>
      <c r="L15" s="10" t="s">
        <v>133</v>
      </c>
    </row>
    <row r="16" spans="1:12" x14ac:dyDescent="0.2">
      <c r="A16" s="2">
        <v>14</v>
      </c>
      <c r="B16" s="3" t="s">
        <v>55</v>
      </c>
      <c r="C16" s="3" t="s">
        <v>56</v>
      </c>
      <c r="D16" s="4" t="s">
        <v>57</v>
      </c>
      <c r="E16" s="2">
        <v>3</v>
      </c>
      <c r="F16" s="2">
        <v>5</v>
      </c>
      <c r="G16" s="2">
        <v>4</v>
      </c>
      <c r="H16" s="2">
        <v>4</v>
      </c>
      <c r="I16" s="5">
        <f t="shared" si="0"/>
        <v>16</v>
      </c>
      <c r="J16" s="2">
        <f t="shared" si="1"/>
        <v>4</v>
      </c>
      <c r="K16" s="3" t="s">
        <v>58</v>
      </c>
      <c r="L16" s="3" t="s">
        <v>59</v>
      </c>
    </row>
    <row r="17" spans="1:12" x14ac:dyDescent="0.2">
      <c r="A17" s="2">
        <v>15</v>
      </c>
      <c r="B17" s="3" t="s">
        <v>60</v>
      </c>
      <c r="C17" s="3" t="s">
        <v>21</v>
      </c>
      <c r="D17" s="4" t="s">
        <v>54</v>
      </c>
      <c r="E17" s="2">
        <v>4</v>
      </c>
      <c r="F17" s="2">
        <v>3</v>
      </c>
      <c r="G17" s="2">
        <v>2</v>
      </c>
      <c r="H17" s="2">
        <v>3</v>
      </c>
      <c r="I17" s="5">
        <f t="shared" si="0"/>
        <v>12</v>
      </c>
      <c r="J17" s="2">
        <f t="shared" si="1"/>
        <v>3</v>
      </c>
      <c r="K17" s="3" t="s">
        <v>61</v>
      </c>
      <c r="L17" s="3" t="s">
        <v>62</v>
      </c>
    </row>
    <row r="18" spans="1:12" x14ac:dyDescent="0.2">
      <c r="A18" s="2">
        <v>16</v>
      </c>
      <c r="B18" s="3" t="s">
        <v>63</v>
      </c>
      <c r="C18" s="3" t="s">
        <v>64</v>
      </c>
      <c r="D18" s="4" t="s">
        <v>65</v>
      </c>
      <c r="E18" s="2">
        <v>1</v>
      </c>
      <c r="F18" s="2">
        <v>5</v>
      </c>
      <c r="G18" s="2">
        <v>3</v>
      </c>
      <c r="H18" s="2">
        <v>4</v>
      </c>
      <c r="I18" s="5">
        <f t="shared" si="0"/>
        <v>13</v>
      </c>
      <c r="J18" s="2">
        <f t="shared" si="1"/>
        <v>3</v>
      </c>
      <c r="K18" s="3" t="s">
        <v>66</v>
      </c>
      <c r="L18" s="3" t="s">
        <v>67</v>
      </c>
    </row>
    <row r="19" spans="1:12" x14ac:dyDescent="0.2">
      <c r="A19" s="2">
        <v>17</v>
      </c>
      <c r="B19" s="3" t="s">
        <v>68</v>
      </c>
      <c r="C19" s="3" t="s">
        <v>69</v>
      </c>
      <c r="D19" s="4" t="s">
        <v>70</v>
      </c>
      <c r="E19" s="2">
        <v>5</v>
      </c>
      <c r="F19" s="2">
        <v>2</v>
      </c>
      <c r="G19" s="2">
        <v>3</v>
      </c>
      <c r="H19" s="2">
        <v>3</v>
      </c>
      <c r="I19" s="5">
        <f t="shared" si="0"/>
        <v>13</v>
      </c>
      <c r="J19" s="2">
        <f t="shared" si="1"/>
        <v>3</v>
      </c>
      <c r="K19" s="9" t="s">
        <v>137</v>
      </c>
      <c r="L19" s="3" t="s">
        <v>71</v>
      </c>
    </row>
    <row r="20" spans="1:12" x14ac:dyDescent="0.2">
      <c r="A20" s="2">
        <v>18</v>
      </c>
      <c r="B20" s="3" t="s">
        <v>72</v>
      </c>
      <c r="C20" s="3" t="s">
        <v>73</v>
      </c>
      <c r="D20" s="4" t="s">
        <v>74</v>
      </c>
      <c r="E20" s="2">
        <v>1</v>
      </c>
      <c r="F20" s="2">
        <v>4</v>
      </c>
      <c r="G20" s="2">
        <v>5</v>
      </c>
      <c r="H20" s="2">
        <v>3</v>
      </c>
      <c r="I20" s="5">
        <f t="shared" si="0"/>
        <v>13</v>
      </c>
      <c r="J20" s="2">
        <f t="shared" si="1"/>
        <v>3</v>
      </c>
      <c r="K20" s="3" t="s">
        <v>5</v>
      </c>
      <c r="L20" s="10" t="s">
        <v>132</v>
      </c>
    </row>
    <row r="21" spans="1:12" x14ac:dyDescent="0.2">
      <c r="A21" s="2">
        <v>19</v>
      </c>
      <c r="B21" s="3" t="s">
        <v>75</v>
      </c>
      <c r="C21" s="3" t="s">
        <v>48</v>
      </c>
      <c r="D21" s="4" t="s">
        <v>76</v>
      </c>
      <c r="E21" s="2">
        <v>3</v>
      </c>
      <c r="F21" s="2">
        <v>3</v>
      </c>
      <c r="G21" s="2">
        <v>4</v>
      </c>
      <c r="H21" s="2">
        <v>5</v>
      </c>
      <c r="I21" s="5">
        <f t="shared" si="0"/>
        <v>15</v>
      </c>
      <c r="J21" s="2">
        <f t="shared" si="1"/>
        <v>4</v>
      </c>
      <c r="K21" s="3" t="s">
        <v>77</v>
      </c>
      <c r="L21" s="3" t="s">
        <v>78</v>
      </c>
    </row>
    <row r="22" spans="1:12" x14ac:dyDescent="0.2">
      <c r="A22" s="2">
        <v>20</v>
      </c>
      <c r="B22" s="3" t="s">
        <v>79</v>
      </c>
      <c r="C22" s="3" t="s">
        <v>64</v>
      </c>
      <c r="D22" s="4" t="s">
        <v>80</v>
      </c>
      <c r="E22" s="2">
        <v>1</v>
      </c>
      <c r="F22" s="2">
        <v>5</v>
      </c>
      <c r="G22" s="2">
        <v>3</v>
      </c>
      <c r="H22" s="2">
        <v>5</v>
      </c>
      <c r="I22" s="5">
        <f t="shared" si="0"/>
        <v>14</v>
      </c>
      <c r="J22" s="2">
        <f t="shared" si="1"/>
        <v>3</v>
      </c>
      <c r="K22" s="3" t="s">
        <v>6</v>
      </c>
      <c r="L22" s="3" t="s">
        <v>81</v>
      </c>
    </row>
    <row r="23" spans="1:12" x14ac:dyDescent="0.2">
      <c r="A23" s="2">
        <v>21</v>
      </c>
      <c r="B23" s="3" t="s">
        <v>82</v>
      </c>
      <c r="C23" s="3" t="s">
        <v>83</v>
      </c>
      <c r="D23" s="4" t="s">
        <v>80</v>
      </c>
      <c r="E23" s="2">
        <v>3</v>
      </c>
      <c r="F23" s="2">
        <v>5</v>
      </c>
      <c r="G23" s="2">
        <v>3</v>
      </c>
      <c r="H23" s="2">
        <v>3</v>
      </c>
      <c r="I23" s="5">
        <f t="shared" si="0"/>
        <v>14</v>
      </c>
      <c r="J23" s="2">
        <f t="shared" si="1"/>
        <v>4</v>
      </c>
      <c r="K23" s="3" t="s">
        <v>84</v>
      </c>
      <c r="L23" s="3" t="s">
        <v>85</v>
      </c>
    </row>
    <row r="24" spans="1:12" x14ac:dyDescent="0.2">
      <c r="A24" s="2">
        <v>22</v>
      </c>
      <c r="B24" s="3" t="s">
        <v>86</v>
      </c>
      <c r="C24" s="3" t="s">
        <v>87</v>
      </c>
      <c r="D24" s="4" t="s">
        <v>88</v>
      </c>
      <c r="E24" s="2">
        <v>5</v>
      </c>
      <c r="F24" s="2">
        <v>3</v>
      </c>
      <c r="G24" s="2">
        <v>3</v>
      </c>
      <c r="H24" s="2">
        <v>4</v>
      </c>
      <c r="I24" s="5">
        <f t="shared" si="0"/>
        <v>15</v>
      </c>
      <c r="J24" s="2">
        <f t="shared" si="1"/>
        <v>4</v>
      </c>
      <c r="K24" s="3" t="s">
        <v>89</v>
      </c>
      <c r="L24" s="3" t="s">
        <v>90</v>
      </c>
    </row>
    <row r="25" spans="1:12" x14ac:dyDescent="0.2">
      <c r="A25" s="2">
        <v>23</v>
      </c>
      <c r="B25" s="3" t="s">
        <v>91</v>
      </c>
      <c r="C25" s="3" t="s">
        <v>92</v>
      </c>
      <c r="D25" s="4" t="s">
        <v>93</v>
      </c>
      <c r="E25" s="2">
        <v>4</v>
      </c>
      <c r="F25" s="2">
        <v>4</v>
      </c>
      <c r="G25" s="2">
        <v>4</v>
      </c>
      <c r="H25" s="2">
        <v>5</v>
      </c>
      <c r="I25" s="5">
        <f t="shared" si="0"/>
        <v>17</v>
      </c>
      <c r="J25" s="2">
        <f t="shared" si="1"/>
        <v>4</v>
      </c>
      <c r="K25" s="3" t="s">
        <v>50</v>
      </c>
      <c r="L25" s="10" t="s">
        <v>134</v>
      </c>
    </row>
    <row r="26" spans="1:12" x14ac:dyDescent="0.2">
      <c r="A26" s="2">
        <v>24</v>
      </c>
      <c r="B26" s="3" t="s">
        <v>94</v>
      </c>
      <c r="C26" s="3" t="s">
        <v>95</v>
      </c>
      <c r="D26" s="4" t="s">
        <v>93</v>
      </c>
      <c r="E26" s="2">
        <v>4</v>
      </c>
      <c r="F26" s="2">
        <v>4</v>
      </c>
      <c r="G26" s="2">
        <v>3</v>
      </c>
      <c r="H26" s="2">
        <v>5</v>
      </c>
      <c r="I26" s="5">
        <f t="shared" si="0"/>
        <v>16</v>
      </c>
      <c r="J26" s="2">
        <f t="shared" si="1"/>
        <v>4</v>
      </c>
      <c r="K26" s="3" t="s">
        <v>50</v>
      </c>
      <c r="L26" s="10" t="s">
        <v>135</v>
      </c>
    </row>
    <row r="27" spans="1:12" x14ac:dyDescent="0.2">
      <c r="A27" s="2">
        <v>25</v>
      </c>
      <c r="B27" s="3" t="s">
        <v>96</v>
      </c>
      <c r="C27" s="3" t="s">
        <v>97</v>
      </c>
      <c r="D27" s="4" t="s">
        <v>98</v>
      </c>
      <c r="E27" s="2">
        <v>4</v>
      </c>
      <c r="F27" s="2">
        <v>1</v>
      </c>
      <c r="G27" s="2">
        <v>1</v>
      </c>
      <c r="H27" s="2">
        <v>3</v>
      </c>
      <c r="I27" s="5">
        <f t="shared" si="0"/>
        <v>9</v>
      </c>
      <c r="J27" s="2">
        <f t="shared" si="1"/>
        <v>2</v>
      </c>
      <c r="K27" s="3" t="s">
        <v>3</v>
      </c>
      <c r="L27" s="10" t="s">
        <v>136</v>
      </c>
    </row>
    <row r="28" spans="1:12" x14ac:dyDescent="0.2">
      <c r="A28" s="2">
        <v>26</v>
      </c>
      <c r="B28" s="3" t="s">
        <v>99</v>
      </c>
      <c r="C28" s="3" t="s">
        <v>100</v>
      </c>
      <c r="D28" s="4" t="s">
        <v>101</v>
      </c>
      <c r="E28" s="2">
        <v>3</v>
      </c>
      <c r="F28" s="2">
        <v>5</v>
      </c>
      <c r="G28" s="2">
        <v>4</v>
      </c>
      <c r="H28" s="2">
        <v>5</v>
      </c>
      <c r="I28" s="5">
        <f t="shared" si="0"/>
        <v>17</v>
      </c>
      <c r="J28" s="2">
        <f t="shared" si="1"/>
        <v>4</v>
      </c>
      <c r="K28" s="3" t="s">
        <v>102</v>
      </c>
      <c r="L28" s="10" t="s">
        <v>144</v>
      </c>
    </row>
    <row r="29" spans="1:12" x14ac:dyDescent="0.2">
      <c r="A29" s="2">
        <v>27</v>
      </c>
      <c r="B29" s="3" t="s">
        <v>103</v>
      </c>
      <c r="C29" s="3" t="s">
        <v>104</v>
      </c>
      <c r="D29" s="4" t="s">
        <v>101</v>
      </c>
      <c r="E29" s="2">
        <v>2</v>
      </c>
      <c r="F29" s="2">
        <v>4</v>
      </c>
      <c r="G29" s="2">
        <v>3</v>
      </c>
      <c r="H29" s="2">
        <v>3</v>
      </c>
      <c r="I29" s="5">
        <f t="shared" si="0"/>
        <v>12</v>
      </c>
      <c r="J29" s="2">
        <f t="shared" si="1"/>
        <v>3</v>
      </c>
      <c r="K29" s="3" t="s">
        <v>105</v>
      </c>
      <c r="L29" s="3" t="s">
        <v>106</v>
      </c>
    </row>
    <row r="30" spans="1:12" x14ac:dyDescent="0.2">
      <c r="A30" s="2">
        <v>28</v>
      </c>
      <c r="B30" s="3" t="s">
        <v>107</v>
      </c>
      <c r="C30" s="3" t="s">
        <v>108</v>
      </c>
      <c r="D30" s="4" t="s">
        <v>109</v>
      </c>
      <c r="E30" s="2">
        <v>3</v>
      </c>
      <c r="F30" s="2">
        <v>5</v>
      </c>
      <c r="G30" s="2">
        <v>1</v>
      </c>
      <c r="H30" s="2">
        <v>2</v>
      </c>
      <c r="I30" s="5">
        <f t="shared" si="0"/>
        <v>11</v>
      </c>
      <c r="J30" s="2">
        <f t="shared" si="1"/>
        <v>2</v>
      </c>
      <c r="K30" s="3" t="s">
        <v>4</v>
      </c>
      <c r="L30" s="3" t="s">
        <v>110</v>
      </c>
    </row>
    <row r="31" spans="1:12" x14ac:dyDescent="0.2">
      <c r="A31" s="2">
        <v>29</v>
      </c>
      <c r="B31" s="3" t="s">
        <v>111</v>
      </c>
      <c r="C31" s="3" t="s">
        <v>112</v>
      </c>
      <c r="D31" s="4" t="s">
        <v>109</v>
      </c>
      <c r="E31" s="2">
        <v>3</v>
      </c>
      <c r="F31" s="2">
        <v>5</v>
      </c>
      <c r="G31" s="2">
        <v>0</v>
      </c>
      <c r="H31" s="2">
        <v>2</v>
      </c>
      <c r="I31" s="5">
        <f t="shared" si="0"/>
        <v>10</v>
      </c>
      <c r="J31" s="2">
        <f t="shared" si="1"/>
        <v>2</v>
      </c>
      <c r="K31" s="3" t="s">
        <v>113</v>
      </c>
      <c r="L31" s="3" t="s">
        <v>114</v>
      </c>
    </row>
  </sheetData>
  <autoFilter ref="A2:L31" xr:uid="{00000000-0009-0000-0000-000000000000}"/>
  <mergeCells count="1">
    <mergeCell ref="A1:L1"/>
  </mergeCells>
  <conditionalFormatting sqref="E3:H31">
    <cfRule type="colorScale" priority="2">
      <colorScale>
        <cfvo type="num" val="0"/>
        <cfvo type="num" val="2.5"/>
        <cfvo type="num" val="5"/>
        <color rgb="FFFCFAFD"/>
        <color rgb="FFE6DAEE"/>
        <color rgb="FFC9A8DA"/>
      </colorScale>
    </cfRule>
  </conditionalFormatting>
  <conditionalFormatting sqref="J3:J31">
    <cfRule type="colorScale" priority="3">
      <colorScale>
        <cfvo type="num" val="1"/>
        <cfvo type="num" val="4"/>
        <color rgb="FFFFFFFF"/>
        <color rgb="FFA9D4BE"/>
      </colorScale>
    </cfRule>
  </conditionalFormatting>
  <hyperlinks>
    <hyperlink ref="L4" r:id="rId1" xr:uid="{F5BFE456-EEBE-2B49-A6EE-C31036573EE5}"/>
    <hyperlink ref="L3" r:id="rId2" xr:uid="{7FEF5E29-EC58-4747-9B0B-2C961A1F112B}"/>
    <hyperlink ref="L5" r:id="rId3" xr:uid="{DE35A02B-237C-AF46-88D7-005D253AF67D}"/>
    <hyperlink ref="L6" r:id="rId4" xr:uid="{6E0E3174-529D-9B41-892C-4C58A5A5F5F2}"/>
    <hyperlink ref="L7" r:id="rId5" xr:uid="{1478B0F0-367D-F146-9055-391C7E7868B8}"/>
    <hyperlink ref="L8" r:id="rId6" xr:uid="{A31E00BF-46DA-A541-818A-5C9B50698A6B}"/>
    <hyperlink ref="L9" r:id="rId7" xr:uid="{58B497BE-CB85-164A-807D-76A0FFAF03A5}"/>
    <hyperlink ref="L10" r:id="rId8" xr:uid="{D29ED433-1817-3F42-8908-1E9503E81F15}"/>
    <hyperlink ref="L20" r:id="rId9" xr:uid="{A9AD1D81-9DD6-1A46-9332-4D9D39117741}"/>
    <hyperlink ref="L15" r:id="rId10" xr:uid="{79AD0B91-BB2B-3544-B692-49EB238305F3}"/>
    <hyperlink ref="L25" r:id="rId11" xr:uid="{C3F91CCE-429B-134D-A61D-A078CCA59EB2}"/>
    <hyperlink ref="L26" r:id="rId12" xr:uid="{856EB996-79A3-6644-83DD-506177994DC1}"/>
    <hyperlink ref="L27" r:id="rId13" xr:uid="{A0F155A1-18C7-C047-B3D9-0D43F7CCBBF3}"/>
    <hyperlink ref="L28" r:id="rId14" xr:uid="{FE66045B-D85E-4A48-BE02-D91A97F1BDD4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22" customWidth="1"/>
    <col min="2" max="2" width="92" customWidth="1"/>
  </cols>
  <sheetData>
    <row r="1" spans="1:2" ht="25.5" customHeight="1" x14ac:dyDescent="0.2">
      <c r="A1" s="15" t="s">
        <v>143</v>
      </c>
      <c r="B1" s="13"/>
    </row>
    <row r="2" spans="1:2" ht="28" x14ac:dyDescent="0.2">
      <c r="A2" s="6" t="s">
        <v>115</v>
      </c>
      <c r="B2" s="7" t="s">
        <v>116</v>
      </c>
    </row>
    <row r="3" spans="1:2" ht="28" x14ac:dyDescent="0.2">
      <c r="A3" s="6" t="s">
        <v>3</v>
      </c>
      <c r="B3" s="7" t="s">
        <v>117</v>
      </c>
    </row>
    <row r="4" spans="1:2" ht="28" x14ac:dyDescent="0.2">
      <c r="A4" s="6" t="s">
        <v>4</v>
      </c>
      <c r="B4" s="7" t="s">
        <v>118</v>
      </c>
    </row>
    <row r="5" spans="1:2" ht="28" x14ac:dyDescent="0.2">
      <c r="A5" s="6" t="s">
        <v>5</v>
      </c>
      <c r="B5" s="14" t="s">
        <v>142</v>
      </c>
    </row>
    <row r="6" spans="1:2" ht="28" x14ac:dyDescent="0.2">
      <c r="A6" s="6" t="s">
        <v>6</v>
      </c>
      <c r="B6" s="7" t="s">
        <v>119</v>
      </c>
    </row>
    <row r="7" spans="1:2" ht="28" x14ac:dyDescent="0.2">
      <c r="A7" s="6" t="s">
        <v>7</v>
      </c>
      <c r="B7" s="7" t="s">
        <v>120</v>
      </c>
    </row>
    <row r="8" spans="1:2" ht="42" x14ac:dyDescent="0.2">
      <c r="A8" s="6" t="s">
        <v>8</v>
      </c>
      <c r="B8" s="7" t="s">
        <v>121</v>
      </c>
    </row>
    <row r="9" spans="1:2" ht="28" x14ac:dyDescent="0.2">
      <c r="A9" s="6" t="s">
        <v>122</v>
      </c>
      <c r="B9" s="14" t="s">
        <v>141</v>
      </c>
    </row>
    <row r="10" spans="1:2" x14ac:dyDescent="0.2">
      <c r="A10" s="6"/>
      <c r="B10" s="7"/>
    </row>
    <row r="11" spans="1:2" x14ac:dyDescent="0.2">
      <c r="A11" s="6"/>
      <c r="B11" s="14"/>
    </row>
    <row r="12" spans="1:2" x14ac:dyDescent="0.2">
      <c r="A12" s="6"/>
      <c r="B12" s="7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4.1</vt:lpstr>
      <vt:lpstr>Method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 Dang</cp:lastModifiedBy>
  <cp:revision>0</cp:revision>
  <dcterms:created xsi:type="dcterms:W3CDTF">2026-06-08T22:55:26Z</dcterms:created>
  <dcterms:modified xsi:type="dcterms:W3CDTF">2026-06-25T21:55:30Z</dcterms:modified>
  <dc:language>en-US</dc:language>
</cp:coreProperties>
</file>